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23" yWindow="484" windowWidth="17424" windowHeight="5943" activeTab="3"/>
  </bookViews>
  <sheets>
    <sheet name="Cost_Benefit_Analysis" sheetId="1" r:id="rId1"/>
    <sheet name="NPV_IRR_Analysis" sheetId="2" r:id="rId2"/>
    <sheet name="Subsidy_Mapping" sheetId="3" r:id="rId3"/>
    <sheet name="Implementation_Roadmap" sheetId="4" r:id="rId4"/>
  </sheets>
  <calcPr calcId="124519"/>
</workbook>
</file>

<file path=xl/calcChain.xml><?xml version="1.0" encoding="utf-8"?>
<calcChain xmlns="http://schemas.openxmlformats.org/spreadsheetml/2006/main">
  <c r="F6" i="1"/>
  <c r="H6" s="1"/>
  <c r="F5"/>
  <c r="H5" s="1"/>
  <c r="F4"/>
  <c r="H4" s="1"/>
</calcChain>
</file>

<file path=xl/sharedStrings.xml><?xml version="1.0" encoding="utf-8"?>
<sst xmlns="http://schemas.openxmlformats.org/spreadsheetml/2006/main" count="110" uniqueCount="84">
  <si>
    <t>ROOFTOP SOLAR FEASIBILITY STUDY — UP MUNICIPAL UTILITIES</t>
  </si>
  <si>
    <t>PM Surya Ghar Yojana Scheme | Cost-Benefit Analysis | 2025</t>
  </si>
  <si>
    <t>Utility</t>
  </si>
  <si>
    <t>Location</t>
  </si>
  <si>
    <t>Capacity (kW)</t>
  </si>
  <si>
    <t>Installation Cost (₹L)</t>
  </si>
  <si>
    <t>Govt Subsidy (₹L)</t>
  </si>
  <si>
    <t>Net Cost (₹L)</t>
  </si>
  <si>
    <t>Annual Savings (₹L)</t>
  </si>
  <si>
    <t>Payback Period (Yrs)</t>
  </si>
  <si>
    <t>Agra Municipal Corporation</t>
  </si>
  <si>
    <t>Agra, UP</t>
  </si>
  <si>
    <t>Lucknow Nagar Nigam</t>
  </si>
  <si>
    <t>Lucknow, UP</t>
  </si>
  <si>
    <t>Meerut Municipal Corp</t>
  </si>
  <si>
    <t>Meerut, UP</t>
  </si>
  <si>
    <t>NPV &amp; IRR ANALYSIS — 25 YEAR PROJECT LIFE</t>
  </si>
  <si>
    <t>Net Investment (₹L)</t>
  </si>
  <si>
    <t>Annual Cash Flow (₹L)</t>
  </si>
  <si>
    <t>NPV @ 10% (₹L)</t>
  </si>
  <si>
    <t>IRR (%)</t>
  </si>
  <si>
    <t>Verdict</t>
  </si>
  <si>
    <t>18.2%</t>
  </si>
  <si>
    <t>VIABLE ✓</t>
  </si>
  <si>
    <t>19.1%</t>
  </si>
  <si>
    <t>17.8%</t>
  </si>
  <si>
    <t>PM SURYA GHAR YOJANA — SUBSIDY MAPPING</t>
  </si>
  <si>
    <t>Scheme Component</t>
  </si>
  <si>
    <t>Details</t>
  </si>
  <si>
    <t>Subsidy Amount</t>
  </si>
  <si>
    <t>Eligibility</t>
  </si>
  <si>
    <t>Status</t>
  </si>
  <si>
    <t>Central Subsidy</t>
  </si>
  <si>
    <t>₹30,000/kW up to 2kW; ₹18,000/kW for 2-3kW</t>
  </si>
  <si>
    <t>Up to ₹78,000</t>
  </si>
  <si>
    <t>All households</t>
  </si>
  <si>
    <t>Active ✓</t>
  </si>
  <si>
    <t>State Top-up (UP)</t>
  </si>
  <si>
    <t>Additional 30% on central subsidy</t>
  </si>
  <si>
    <t>Up to ₹23,400</t>
  </si>
  <si>
    <t>UP residents</t>
  </si>
  <si>
    <t>Net Metering</t>
  </si>
  <si>
    <t>Sell excess power to grid at ₹3.5/unit</t>
  </si>
  <si>
    <t>Variable income</t>
  </si>
  <si>
    <t>Grid connected</t>
  </si>
  <si>
    <t>Bank Loan (Collateral free)</t>
  </si>
  <si>
    <t>Up to ₹2L at 7% interest rate</t>
  </si>
  <si>
    <t>Loan facility</t>
  </si>
  <si>
    <t>All applicants</t>
  </si>
  <si>
    <t>Municipal Discount</t>
  </si>
  <si>
    <t>Property tax rebate 10% for solar adopters</t>
  </si>
  <si>
    <t>Tax benefit</t>
  </si>
  <si>
    <t>UP municipalities</t>
  </si>
  <si>
    <t>Proposed</t>
  </si>
  <si>
    <t>PHASED IMPLEMENTATION ROADMAP</t>
  </si>
  <si>
    <t>Phase</t>
  </si>
  <si>
    <t>Timeline</t>
  </si>
  <si>
    <t>Activity</t>
  </si>
  <si>
    <t>Budget (₹L)</t>
  </si>
  <si>
    <t>Phase 1 — Planning</t>
  </si>
  <si>
    <t>Jan–Mar 2025</t>
  </si>
  <si>
    <t>Site survey &amp; feasibility assessment</t>
  </si>
  <si>
    <t>All 3 utilities</t>
  </si>
  <si>
    <t>Completed</t>
  </si>
  <si>
    <t>Subsidy application &amp; documentation</t>
  </si>
  <si>
    <t>Phase 2 — Procurement</t>
  </si>
  <si>
    <t>Apr–Jun 2025</t>
  </si>
  <si>
    <t>Vendor selection &amp; tender process</t>
  </si>
  <si>
    <t>In Progress</t>
  </si>
  <si>
    <t>Equipment ordering (panels, inverters)</t>
  </si>
  <si>
    <t>Phase 3 — Installation</t>
  </si>
  <si>
    <t>Jul–Sep 2025</t>
  </si>
  <si>
    <t>Agra Municipal — 500kW installation</t>
  </si>
  <si>
    <t>Agra</t>
  </si>
  <si>
    <t>Planned</t>
  </si>
  <si>
    <t>Oct–Dec 2025</t>
  </si>
  <si>
    <t>Lucknow Nagar — 750kW installation</t>
  </si>
  <si>
    <t>Lucknow</t>
  </si>
  <si>
    <t>Jan–Mar 2026</t>
  </si>
  <si>
    <t>Meerut Municipal — 300kW installation</t>
  </si>
  <si>
    <t>Meerut</t>
  </si>
  <si>
    <t>Phase 4 — Monitoring</t>
  </si>
  <si>
    <t>Apr 2026 onwards</t>
  </si>
  <si>
    <t>Performance monitoring &amp; reporting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</si>
</sst>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FFFFFF"/>
      <name val="Arial"/>
    </font>
    <font>
      <b/>
      <sz val="11"/>
      <color rgb="FFFFFFFF"/>
      <name val="Arial"/>
    </font>
    <font>
      <b/>
      <sz val="10"/>
      <color rgb="FF1A2A38"/>
      <name val="Arial"/>
    </font>
    <font>
      <sz val="10"/>
      <color rgb="FF1A2A38"/>
      <name val="Arial"/>
    </font>
    <font>
      <b/>
      <sz val="13"/>
      <color rgb="FFFFFFFF"/>
      <name val="Arial"/>
    </font>
  </fonts>
  <fills count="8">
    <fill>
      <patternFill patternType="none"/>
    </fill>
    <fill>
      <patternFill patternType="gray125"/>
    </fill>
    <fill>
      <patternFill patternType="solid">
        <fgColor rgb="FF1A3C2E"/>
      </patternFill>
    </fill>
    <fill>
      <patternFill patternType="solid">
        <fgColor rgb="FF2D7A4F"/>
      </patternFill>
    </fill>
    <fill>
      <patternFill patternType="solid">
        <fgColor rgb="FFE8F5EE"/>
      </patternFill>
    </fill>
    <fill>
      <patternFill patternType="solid">
        <fgColor rgb="FFFFF8E1"/>
      </patternFill>
    </fill>
    <fill>
      <patternFill patternType="solid">
        <fgColor rgb="FFE8F0FE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selection activeCell="A2" sqref="A2:H2"/>
    </sheetView>
  </sheetViews>
  <sheetFormatPr defaultRowHeight="15.05"/>
  <cols>
    <col min="1" max="8" width="17.77734375" customWidth="1"/>
  </cols>
  <sheetData>
    <row r="1" spans="1:8" ht="36" customHeight="1">
      <c r="A1" s="20" t="s">
        <v>0</v>
      </c>
      <c r="B1" s="19"/>
      <c r="C1" s="19"/>
      <c r="D1" s="19"/>
      <c r="E1" s="19"/>
      <c r="F1" s="19"/>
      <c r="G1" s="19"/>
      <c r="H1" s="19"/>
    </row>
    <row r="2" spans="1:8" ht="21.95" customHeight="1">
      <c r="A2" s="18" t="s">
        <v>1</v>
      </c>
      <c r="B2" s="19"/>
      <c r="C2" s="19"/>
      <c r="D2" s="19"/>
      <c r="E2" s="19"/>
      <c r="F2" s="19"/>
      <c r="G2" s="19"/>
      <c r="H2" s="19"/>
    </row>
    <row r="3" spans="1:8" ht="39.950000000000003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39.950000000000003" customHeight="1">
      <c r="A4" s="2" t="s">
        <v>10</v>
      </c>
      <c r="B4" s="3" t="s">
        <v>11</v>
      </c>
      <c r="C4" s="4">
        <v>500</v>
      </c>
      <c r="D4" s="4">
        <v>175</v>
      </c>
      <c r="E4" s="4">
        <v>52.5</v>
      </c>
      <c r="F4" s="5">
        <f>D4-E4</f>
        <v>122.5</v>
      </c>
      <c r="G4" s="4">
        <v>28.5</v>
      </c>
      <c r="H4" s="5">
        <f>F4/G4</f>
        <v>4.2982456140350873</v>
      </c>
    </row>
    <row r="5" spans="1:8" ht="39.950000000000003" customHeight="1">
      <c r="A5" s="6" t="s">
        <v>12</v>
      </c>
      <c r="B5" s="7" t="s">
        <v>13</v>
      </c>
      <c r="C5" s="8">
        <v>750</v>
      </c>
      <c r="D5" s="8">
        <v>262.5</v>
      </c>
      <c r="E5" s="8">
        <v>78.75</v>
      </c>
      <c r="F5" s="9">
        <f>D5-E5</f>
        <v>183.75</v>
      </c>
      <c r="G5" s="8">
        <v>42</v>
      </c>
      <c r="H5" s="9">
        <f>F5/G5</f>
        <v>4.375</v>
      </c>
    </row>
    <row r="6" spans="1:8" ht="39.950000000000003" customHeight="1">
      <c r="A6" s="10" t="s">
        <v>14</v>
      </c>
      <c r="B6" s="11" t="s">
        <v>15</v>
      </c>
      <c r="C6" s="12">
        <v>300</v>
      </c>
      <c r="D6" s="12">
        <v>105</v>
      </c>
      <c r="E6" s="12">
        <v>31.5</v>
      </c>
      <c r="F6" s="13">
        <f>D6-E6</f>
        <v>73.5</v>
      </c>
      <c r="G6" s="12">
        <v>17.5</v>
      </c>
      <c r="H6" s="13">
        <f>F6/G6</f>
        <v>4.2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selection activeCell="A7" sqref="A7"/>
    </sheetView>
  </sheetViews>
  <sheetFormatPr defaultRowHeight="15.05"/>
  <cols>
    <col min="1" max="1" width="28" customWidth="1"/>
    <col min="2" max="3" width="20" customWidth="1"/>
    <col min="4" max="4" width="18" customWidth="1"/>
    <col min="5" max="5" width="12" customWidth="1"/>
    <col min="6" max="6" width="14" customWidth="1"/>
  </cols>
  <sheetData>
    <row r="1" spans="1:6" ht="32.1" customHeight="1">
      <c r="A1" s="21" t="s">
        <v>16</v>
      </c>
      <c r="B1" s="19"/>
      <c r="C1" s="19"/>
      <c r="D1" s="19"/>
      <c r="E1" s="19"/>
      <c r="F1" s="19"/>
    </row>
    <row r="2" spans="1:6" ht="36" customHeight="1">
      <c r="A2" s="1" t="s">
        <v>2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</row>
    <row r="3" spans="1:6" ht="21.95" customHeight="1">
      <c r="A3" s="2" t="s">
        <v>10</v>
      </c>
      <c r="B3" s="4">
        <v>122.5</v>
      </c>
      <c r="C3" s="4">
        <v>28.5</v>
      </c>
      <c r="D3" s="4">
        <v>142.30000000000001</v>
      </c>
      <c r="E3" s="14" t="s">
        <v>22</v>
      </c>
      <c r="F3" s="14" t="s">
        <v>23</v>
      </c>
    </row>
    <row r="4" spans="1:6" ht="21.95" customHeight="1">
      <c r="A4" s="2" t="s">
        <v>12</v>
      </c>
      <c r="B4" s="4">
        <v>183.75</v>
      </c>
      <c r="C4" s="4">
        <v>42</v>
      </c>
      <c r="D4" s="4">
        <v>198.6</v>
      </c>
      <c r="E4" s="14" t="s">
        <v>24</v>
      </c>
      <c r="F4" s="14" t="s">
        <v>23</v>
      </c>
    </row>
    <row r="5" spans="1:6" ht="21.95" customHeight="1">
      <c r="A5" s="2" t="s">
        <v>14</v>
      </c>
      <c r="B5" s="4">
        <v>73.5</v>
      </c>
      <c r="C5" s="4">
        <v>17.5</v>
      </c>
      <c r="D5" s="4">
        <v>89.4</v>
      </c>
      <c r="E5" s="14" t="s">
        <v>25</v>
      </c>
      <c r="F5" s="14" t="s">
        <v>23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selection activeCell="A2" sqref="A2:XFD2"/>
    </sheetView>
  </sheetViews>
  <sheetFormatPr defaultRowHeight="15.05"/>
  <cols>
    <col min="1" max="1" width="25" customWidth="1"/>
    <col min="2" max="2" width="35" customWidth="1"/>
    <col min="3" max="3" width="18" customWidth="1"/>
    <col min="4" max="4" width="20" customWidth="1"/>
    <col min="5" max="5" width="12" customWidth="1"/>
  </cols>
  <sheetData>
    <row r="1" spans="1:5" ht="32.1" customHeight="1">
      <c r="A1" s="21" t="s">
        <v>26</v>
      </c>
      <c r="B1" s="19"/>
      <c r="C1" s="19"/>
      <c r="D1" s="19"/>
      <c r="E1" s="19"/>
    </row>
    <row r="2" spans="1:5" ht="36" customHeight="1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</row>
    <row r="3" spans="1:5" ht="29.95" customHeight="1">
      <c r="A3" s="3" t="s">
        <v>32</v>
      </c>
      <c r="B3" s="3" t="s">
        <v>33</v>
      </c>
      <c r="C3" s="3" t="s">
        <v>34</v>
      </c>
      <c r="D3" s="3" t="s">
        <v>35</v>
      </c>
      <c r="E3" s="3" t="s">
        <v>36</v>
      </c>
    </row>
    <row r="4" spans="1:5" ht="29.95" customHeight="1">
      <c r="A4" s="15" t="s">
        <v>37</v>
      </c>
      <c r="B4" s="15" t="s">
        <v>38</v>
      </c>
      <c r="C4" s="15" t="s">
        <v>39</v>
      </c>
      <c r="D4" s="15" t="s">
        <v>40</v>
      </c>
      <c r="E4" s="15" t="s">
        <v>36</v>
      </c>
    </row>
    <row r="5" spans="1:5" ht="29.95" customHeight="1">
      <c r="A5" s="3" t="s">
        <v>41</v>
      </c>
      <c r="B5" s="3" t="s">
        <v>42</v>
      </c>
      <c r="C5" s="3" t="s">
        <v>43</v>
      </c>
      <c r="D5" s="3" t="s">
        <v>44</v>
      </c>
      <c r="E5" s="3" t="s">
        <v>36</v>
      </c>
    </row>
    <row r="6" spans="1:5" ht="29.95" customHeight="1">
      <c r="A6" s="15" t="s">
        <v>45</v>
      </c>
      <c r="B6" s="15" t="s">
        <v>46</v>
      </c>
      <c r="C6" s="15" t="s">
        <v>47</v>
      </c>
      <c r="D6" s="15" t="s">
        <v>48</v>
      </c>
      <c r="E6" s="15" t="s">
        <v>36</v>
      </c>
    </row>
    <row r="7" spans="1:5" ht="29.95" customHeight="1">
      <c r="A7" s="3" t="s">
        <v>49</v>
      </c>
      <c r="B7" s="3" t="s">
        <v>50</v>
      </c>
      <c r="C7" s="3" t="s">
        <v>51</v>
      </c>
      <c r="D7" s="3" t="s">
        <v>52</v>
      </c>
      <c r="E7" s="3" t="s">
        <v>53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>
      <selection activeCell="A2" sqref="A2:XFD2"/>
    </sheetView>
  </sheetViews>
  <sheetFormatPr defaultRowHeight="15.05"/>
  <cols>
    <col min="1" max="1" width="22" customWidth="1"/>
    <col min="2" max="2" width="16" customWidth="1"/>
    <col min="3" max="3" width="35" customWidth="1"/>
    <col min="4" max="4" width="15" customWidth="1"/>
    <col min="5" max="6" width="14" customWidth="1"/>
  </cols>
  <sheetData>
    <row r="1" spans="1:6" ht="32.1" customHeight="1">
      <c r="A1" s="21" t="s">
        <v>54</v>
      </c>
      <c r="B1" s="19"/>
      <c r="C1" s="19"/>
      <c r="D1" s="19"/>
      <c r="E1" s="19"/>
      <c r="F1" s="19"/>
    </row>
    <row r="2" spans="1:6" ht="36" customHeight="1">
      <c r="A2" s="1" t="s">
        <v>55</v>
      </c>
      <c r="B2" s="1" t="s">
        <v>56</v>
      </c>
      <c r="C2" s="1" t="s">
        <v>57</v>
      </c>
      <c r="D2" s="1" t="s">
        <v>2</v>
      </c>
      <c r="E2" s="1" t="s">
        <v>58</v>
      </c>
      <c r="F2" s="1" t="s">
        <v>31</v>
      </c>
    </row>
    <row r="3" spans="1:6" ht="28" customHeight="1">
      <c r="A3" s="14" t="s">
        <v>59</v>
      </c>
      <c r="B3" s="4" t="s">
        <v>60</v>
      </c>
      <c r="C3" s="3" t="s">
        <v>61</v>
      </c>
      <c r="D3" s="4" t="s">
        <v>62</v>
      </c>
      <c r="E3" s="4">
        <v>2.5</v>
      </c>
      <c r="F3" s="4" t="s">
        <v>63</v>
      </c>
    </row>
    <row r="4" spans="1:6" ht="28" customHeight="1">
      <c r="A4" s="14" t="s">
        <v>59</v>
      </c>
      <c r="B4" s="4" t="s">
        <v>60</v>
      </c>
      <c r="C4" s="3" t="s">
        <v>64</v>
      </c>
      <c r="D4" s="4" t="s">
        <v>62</v>
      </c>
      <c r="E4" s="4">
        <v>0.5</v>
      </c>
      <c r="F4" s="4" t="s">
        <v>63</v>
      </c>
    </row>
    <row r="5" spans="1:6" ht="28" customHeight="1">
      <c r="A5" s="16" t="s">
        <v>65</v>
      </c>
      <c r="B5" s="8" t="s">
        <v>66</v>
      </c>
      <c r="C5" s="7" t="s">
        <v>67</v>
      </c>
      <c r="D5" s="8" t="s">
        <v>62</v>
      </c>
      <c r="E5" s="8">
        <v>1</v>
      </c>
      <c r="F5" s="8" t="s">
        <v>68</v>
      </c>
    </row>
    <row r="6" spans="1:6" ht="28" customHeight="1">
      <c r="A6" s="16" t="s">
        <v>65</v>
      </c>
      <c r="B6" s="8" t="s">
        <v>66</v>
      </c>
      <c r="C6" s="7" t="s">
        <v>69</v>
      </c>
      <c r="D6" s="8" t="s">
        <v>62</v>
      </c>
      <c r="E6" s="8">
        <v>350</v>
      </c>
      <c r="F6" s="8" t="s">
        <v>68</v>
      </c>
    </row>
    <row r="7" spans="1:6" ht="28" customHeight="1">
      <c r="A7" s="17" t="s">
        <v>70</v>
      </c>
      <c r="B7" s="12" t="s">
        <v>71</v>
      </c>
      <c r="C7" s="11" t="s">
        <v>72</v>
      </c>
      <c r="D7" s="12" t="s">
        <v>73</v>
      </c>
      <c r="E7" s="12">
        <v>175</v>
      </c>
      <c r="F7" s="12" t="s">
        <v>74</v>
      </c>
    </row>
    <row r="8" spans="1:6" ht="28" customHeight="1">
      <c r="A8" s="17" t="s">
        <v>70</v>
      </c>
      <c r="B8" s="12" t="s">
        <v>75</v>
      </c>
      <c r="C8" s="11" t="s">
        <v>76</v>
      </c>
      <c r="D8" s="12" t="s">
        <v>77</v>
      </c>
      <c r="E8" s="12">
        <v>262.5</v>
      </c>
      <c r="F8" s="12" t="s">
        <v>74</v>
      </c>
    </row>
    <row r="9" spans="1:6" ht="28" customHeight="1">
      <c r="A9" s="17" t="s">
        <v>70</v>
      </c>
      <c r="B9" s="12" t="s">
        <v>78</v>
      </c>
      <c r="C9" s="11" t="s">
        <v>79</v>
      </c>
      <c r="D9" s="12" t="s">
        <v>80</v>
      </c>
      <c r="E9" s="12">
        <v>105</v>
      </c>
      <c r="F9" s="12" t="s">
        <v>74</v>
      </c>
    </row>
    <row r="10" spans="1:6" ht="28" customHeight="1">
      <c r="A10" s="17" t="s">
        <v>81</v>
      </c>
      <c r="B10" s="12" t="s">
        <v>82</v>
      </c>
      <c r="C10" s="11" t="s">
        <v>83</v>
      </c>
      <c r="D10" s="12" t="s">
        <v>62</v>
      </c>
      <c r="E10" s="12">
        <v>1.5</v>
      </c>
      <c r="F10" s="12" t="s">
        <v>74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Cost_Benefit_Analysis</vt:lpstr>
      <vt:lpstr>NPV_IRR_Analysis</vt:lpstr>
      <vt:lpstr>Subsidy_Mapping</vt:lpstr>
      <vt:lpstr>Implementation_Roadmap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OPTODAN</cp:lastModifiedBy>
  <dcterms:created xsi:type="dcterms:W3CDTF">2026-06-13T09:46:54Z</dcterms:created>
  <dcterms:modified xsi:type="dcterms:W3CDTF">2026-06-13T09:55:43Z</dcterms:modified>
</cp:coreProperties>
</file>